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gweinfeld\Downloads\"/>
    </mc:Choice>
  </mc:AlternateContent>
  <bookViews>
    <workbookView xWindow="0" yWindow="0" windowWidth="16245" windowHeight="5265"/>
  </bookViews>
  <sheets>
    <sheet name="Sheet1" sheetId="1" r:id="rId1"/>
  </sheets>
  <calcPr calcId="152511"/>
</workbook>
</file>

<file path=xl/calcChain.xml><?xml version="1.0" encoding="utf-8"?>
<calcChain xmlns="http://schemas.openxmlformats.org/spreadsheetml/2006/main">
  <c r="I11" i="1" l="1"/>
  <c r="I8" i="1"/>
  <c r="I12" i="1"/>
  <c r="I13" i="1"/>
  <c r="I10" i="1"/>
  <c r="I9" i="1"/>
  <c r="I7" i="1"/>
  <c r="I3" i="1"/>
  <c r="I4" i="1"/>
  <c r="I5" i="1"/>
  <c r="I6" i="1"/>
  <c r="I2" i="1"/>
  <c r="P3" i="1" l="1"/>
  <c r="P4" i="1"/>
  <c r="P5" i="1"/>
  <c r="P6" i="1"/>
  <c r="P7" i="1"/>
  <c r="P8" i="1"/>
  <c r="P9" i="1"/>
  <c r="P10" i="1"/>
  <c r="P11" i="1"/>
  <c r="P12" i="1"/>
  <c r="P13" i="1"/>
  <c r="P2" i="1"/>
</calcChain>
</file>

<file path=xl/sharedStrings.xml><?xml version="1.0" encoding="utf-8"?>
<sst xmlns="http://schemas.openxmlformats.org/spreadsheetml/2006/main" count="146" uniqueCount="101">
  <si>
    <t>No. Sujet</t>
  </si>
  <si>
    <t>Tag Niveau 1</t>
  </si>
  <si>
    <t>Tag Niveau 2</t>
  </si>
  <si>
    <t>Tag Niveau 3</t>
  </si>
  <si>
    <t>Votre texte ici (les textes sont à rendre directement sur ce fichier Excel)</t>
  </si>
  <si>
    <t>Retours rédac OF</t>
  </si>
  <si>
    <t>Mots total</t>
  </si>
  <si>
    <t>&lt;p&gt;</t>
  </si>
  <si>
    <t>Paragraphe 1</t>
  </si>
  <si>
    <t>&lt;br /&gt;&lt;br /&gt;</t>
  </si>
  <si>
    <t>Pragraphe 2</t>
  </si>
  <si>
    <t>&lt;/p&gt;</t>
  </si>
  <si>
    <t>mot-clé 1</t>
  </si>
  <si>
    <t>mot-clé 2</t>
  </si>
  <si>
    <t>mot-clé 3</t>
  </si>
  <si>
    <t>mot-clé 4</t>
  </si>
  <si>
    <t>Société</t>
  </si>
  <si>
    <t>Faits divers</t>
  </si>
  <si>
    <t>Affaire De Ligonnès</t>
  </si>
  <si>
    <t>En avril 2011, l'affaire de Ligonnès éclatait au grand jour.  Xavier Dupont de Ligonnès disparaissait mystérieusement alors que les corps des membres de toute sa famille étaient retrouvés sans vie à leur domicile de Nantes, dissimilés sous la terrasse du jardin. Le père de famille était alors devenu le premier suspect dans cette affaire d'assassinat très médiatique. Après avoir été signalé de nombreuses fois à la police, Xavier Dupont de Ligonnès est pourtant resté introuvable depuis le drame. Fuite ou suicide ? Restent aux enquêteurs les signes d'une préméditation glaçante de la part du meurtrier ainsi que ses lettres personelles précédant le crime que l'on a retrouvées.</t>
  </si>
  <si>
    <t>Ligonnès</t>
  </si>
  <si>
    <t>affaire de Ligonnès</t>
  </si>
  <si>
    <t xml:space="preserve">Xavier Dupont de Ligonnès </t>
  </si>
  <si>
    <t>préméditation</t>
  </si>
  <si>
    <t>Fêtes</t>
  </si>
  <si>
    <t>1er Mai</t>
  </si>
  <si>
    <t>Depuis 1919 en France, le 1er Mai est un jour férié célébrant la Fête du Travail. Reconnu dans de nombreux pays européens ainsi qu’en Russie, en Amérique du Sud, en Afrique et aux États-Unis, il commémore les manifestations ayant eu lieu à la fin de la première guerre mondiale pour la réduction du temps de travail et le passage à la journée de huit heures. Aujourd’hui, en France, de nombreuses manifestations syndicales sont toujours organisées le 1er Mai par le mouvement ouvrier pour célébrer les combats des travailleurs. Cette date est également associée à une tradition plus innocente qui consiste à offrir un brin de muguet pour célébrer l’arrivée du printemps.</t>
  </si>
  <si>
    <t>fête du Travail</t>
  </si>
  <si>
    <t>travail</t>
  </si>
  <si>
    <t>muguet</t>
  </si>
  <si>
    <t>Politique</t>
  </si>
  <si>
    <t>François Hollande</t>
  </si>
  <si>
    <t>Homme d’État français, François Hollande est élu, le 15 mai 2012, Président de la République Française. Diplômé de l’ENA, il commence sa carrière comme avocat et magistrat à la Cour des comptes. Il s’engage tôt en politique et devient Premier secrétaire du Parti socialiste entre 1997 et 2008. Il est également Maire de Tulle (Corrèze) de 2001 à 2008. En devenant le 24ème Président de la République, il succède à Nicolas Sarkozy (UMP) alors à la tête de l’État et le devance lors de l’élection avec 51,64% des voix. Lors de la formation de son gouvernement, Françoise Hollande désigne Jean-Marc Ayrault comme Premier ministre. Par la suite ce dernier sera remplacé par Manuel Valls (ancien ministre de l’Intérieur). La Présidence de François Hollande touchera à sa fin en 2017 lors des nouvelles éléctions Présidentielles.</t>
  </si>
  <si>
    <t>président</t>
  </si>
  <si>
    <t>Parti socialiste</t>
  </si>
  <si>
    <t>président de la République</t>
  </si>
  <si>
    <t>Affaires</t>
  </si>
  <si>
    <t>Affaire DSK</t>
  </si>
  <si>
    <t>Le 14 mai 2011, l’affaire DSK éclate. Dominique Strauss-Kahn, alors président du FMI et favori socialiste pour les présidentielles de 2012, est arrêté par la police de New York pour agressions sexuelles. Une femme de chambre du Sofitel l’accuse de lui avoir imposé des relations sexuelles. Poursuivi par la justice américaine, il décide de plaider non coupable. Les charges sont finalement abandonnées, Nafissatou Diallo manquant de crédibilité selon le procureur. Toutefois, la victime présumée intente une action civile afin d’obtenir des dommages et intérêts ; les deux parties s’accordent finalement sur un arrangement à l'amiable.  _x000D_Malgré la fin des poursuites, le scandale de l'affaire DSK est tel qu’il signe la fin de la carrière politique de Dominique Strauss-Kahn. Cette affaire du Sofitel sera d’ailleurs suivie par d’autres affaires de mœurs en France, notamment celle du Carlton de Lille. _x000D_</t>
  </si>
  <si>
    <t xml:space="preserve">affaire DSK </t>
  </si>
  <si>
    <t>Dominique Strauss-Kahn</t>
  </si>
  <si>
    <t>scandale</t>
  </si>
  <si>
    <t xml:space="preserve">affaire du Sofitel </t>
  </si>
  <si>
    <t>Economie</t>
  </si>
  <si>
    <t>Agriculture</t>
  </si>
  <si>
    <t>Space</t>
  </si>
  <si>
    <t>Chaque année en septembre, le SPACE fait venir à Rennes plus de 110 000 professionnels de l'élevage du monde entier. Avec plus de 68 000 m² de stands d'exposition, c'est le deuxième salon mondial du secteur. Au programme du SPACE, on retrouve notamment les derniers équipements et services de production, la génétique animale, la santé du bétail et son alimentation. Pour les éleveurs de races bovines, porcines, ovines, caprines... le salon international de l'élevage est aussi un rendez-vous important de concours internationaux réputés. Lieu de débats, conférences et échanges entre professionnels des productions animales, chaque édition du SPACE est l'occasion de découvrir les innovations et les projets de recherche et développement marquants du secteur. Le «  Salon des Productions Animales Carrefour Européen  » se tient au Parc-Expo de Rennes-Aéroport à Bruz, dans la banlieue de Rennes.</t>
  </si>
  <si>
    <t>SPACE</t>
  </si>
  <si>
    <t>Rennes</t>
  </si>
  <si>
    <t>salon international de l'élevage</t>
  </si>
  <si>
    <t>Salon des Productions Animales Carrefour Européen</t>
  </si>
  <si>
    <t>Tourisme</t>
  </si>
  <si>
    <t>Ile d’Ouessant</t>
  </si>
  <si>
    <t>Parmi toutes les îles du Ponant dans le Finistère, l’île d’Ouessant est la plus éloignée du continent, distante de 25 kms des côtes. Elle fait pourtant l’objet d’une fréquentation touristique saisonnière non négligeable. Les capacités d’accueil de l’île se composent en premier lieu de résidences secondaires ou d’hébergements chez des amis habitants de l’île. Les gites et hôtels familiaux sont également bien implantés, ainsi que les zones de campings. L’île dispose en outre de nombreux centres de loisirs, incluant toutes les activités liées à la mer (tourisme balnéaire, sports aquatiques, pêche). Son patrimoine est tout autant lié au fait religieux qu’à son histoire maritime. Eglise, chapelles, phares et musées écologiques et maritimes constituent une grande part de son offre culturelle. Les visiteurs sont enfin attirés en majorité par le paysage insulaire d’Ouessant, et une certaine qualité de vie, liée à son isolement.</t>
  </si>
  <si>
    <t>îles du Ponant</t>
  </si>
  <si>
    <t>île d’Ouessant</t>
  </si>
  <si>
    <t>tourisme balnéaire</t>
  </si>
  <si>
    <t>paysage insulaire</t>
  </si>
  <si>
    <t>Culture</t>
  </si>
  <si>
    <t>Arts</t>
  </si>
  <si>
    <t>Architecture</t>
  </si>
  <si>
    <t>Art de construire, l’architecture s’ancre à la fois dans le passé, le présent et le futur. Elle apporte un témoignage vivant du savoir-faire des civilisations anciennes et des grandes époques de l’humanité. Répondant à des besoins humains essentiels, elle concerne les bâtiments publics, religieux ou privés, les intérieurs ou les jardins. L’architecture fait partie des beaux-arts et relate les rapports entretenus par l’homme avec son environnement à une époque donnée.</t>
  </si>
  <si>
    <t xml:space="preserve">Cet art majeur  se trouve aussi face à des défis. Elle est un des secteurs d’activité pour lesquels l’innovation est une seconde nature : matériaux et techniques de construction, utilisation de l’espace, intégration de la technologie, prise en compte de l’environnement…  Au travers d’expositions, de visites exclusives, de rencontres avec des architectes de renom ou d’événements mondiaux majeurs tels que la biennale d’architecture de Venise, le public peut lui aussi s’initier à cet art en trois dimensions. </t>
  </si>
  <si>
    <t>architecture</t>
  </si>
  <si>
    <t>beaux-arts</t>
  </si>
  <si>
    <t>construction</t>
  </si>
  <si>
    <t>biennale d’architecture de Venise</t>
  </si>
  <si>
    <t>Médias</t>
  </si>
  <si>
    <t>Canal+</t>
  </si>
  <si>
    <t xml:space="preserve">Créée en novembre 1984, Canal+ fut la première chaîne privée de France et reste l’une des 10 chaînes de télévision les plus regardées dans l’Hexagone. Canal+ est une chaîne à péage, c’est-à-dire que son signal est crypté, et nécessite pour les abonnés d’avoir un décodeur. Si l’idée initiale lors du lancement de Canal+ était de créer une chaîne orientée sur les émissions culturelles, en réalité la chaîne Canal+ s’est rapidement fait un nom pour la diffusion de films récents ainsi que d’évènements sportifs, notamment de matchs de football et de courses de Formule 1. Depuis 1992, Canal+ s’est aussi étoffé avec un bouquet de chaînes plus spécialisées par l’intermédiaire de sa version satellite baptisée Canalsat. Parmi les émissions télévisées emblématiques de la chaîne, on compte entre autres « Les Guignols de l’info » (depuis 1988) et « Le Grand Journal », lancé en 2004.  </t>
  </si>
  <si>
    <t>chaines de télévision</t>
  </si>
  <si>
    <t>chaîne à péage</t>
  </si>
  <si>
    <t xml:space="preserve">émissions télévisées </t>
  </si>
  <si>
    <t>Festivals</t>
  </si>
  <si>
    <t>Les Vieilles Charrues</t>
  </si>
  <si>
    <t xml:space="preserve">Le festival des Vieilles Charrues 2015 se tiendra du 16 au 19 juillet à Carhaix. Alors que la plupart des festivals français souffrent des réductions de subventions publiques, le plus grand festival de France s’apprête à accueillir sa 24e édition, affirmant d’année en année son caractère indépendant et éco citoyen. Côté musique, la programmation se veut une fois de plus éclectique avec des têtes d’affiche taillées pour les foules comme Muse, The Chemical Brothers ou The Prodigy, mais aussi des talents tricolores comme Christine and the Queens ou The Dø et même une scène de découvertes musicales. Nouveauté cette année, Les Vieilles Charrues s’essaye au paiement dématérialisé qui devrait réduire les files d’attente tout en proposant davantage de concerts.
</t>
  </si>
  <si>
    <t xml:space="preserve"> festival des Vieilles Charrues </t>
  </si>
  <si>
    <t>Carhaix</t>
  </si>
  <si>
    <t>musique</t>
  </si>
  <si>
    <t xml:space="preserve">Vieilles Charrues </t>
  </si>
  <si>
    <t>Histoire</t>
  </si>
  <si>
    <t>Guerre 39-45</t>
  </si>
  <si>
    <t>La guerre 39-45 est un conflit armé mondial qui a débuté le 1er septembre 1939 et s'est terminé le 2 septembre 1945. La Seconde Guerre Mondiale  a opposé les Alliés, regroupant notamment les États-Unis, le Royaume-Uni et l’Union Soviétique, aux forces de l’Axe, c’est-à-dire l’Allemagne, l’Italie et le Japon. Le 1er septembre 1939, Adolf Hitler, dirigeant de l’Allemagne nazie, envahit la Pologne, poussant alors la France et le Royaume-Uni à lui déclarer la guerre le 3 septembre. Pendant six ans, la guerre 39-45 se déroule sur différents fronts : le front de l’ouest, le front de l’est, le Pacifique et l’Afrique du Nord. Finalement, le 6 juin 1944, les forces alliées débarquent en Normandie et en mai 1945, l’Allemagne capitule. Le Japon cèdera quant à lui en septembre 1945, suite aux bombardements atomiques sur Hiroshima et Nagasaki, mettant fin au conflit le plus meurtrier de l’Histoire.</t>
  </si>
  <si>
    <t>La guerre 39-45</t>
  </si>
  <si>
    <t>Seconde Guerre Mondiale</t>
  </si>
  <si>
    <t>Adolf Hitler</t>
  </si>
  <si>
    <t>Allemagne nazie</t>
  </si>
  <si>
    <t xml:space="preserve">Environnement </t>
  </si>
  <si>
    <t>Climat</t>
  </si>
  <si>
    <t xml:space="preserve">L’environnement, qui constitue l’ensemble des éléments naturels nous entourant et nous permettant de vivre, est aujourd’hui au cœur de l’actualité comme au centre de nos préoccupations, ainsi qu'un enjeu international majeur. De par les activités humaines (industrielles et les habitudes de consommations) qui impactent fortement sur les ressources  naturelles qui ne cessent de diminuer. Ces impacts négatifs ont de multiples conséquences sur la planète, par exemple le réchauffement climatique dû en partie à une émission de gaz à effet de serre trop importante. C'est pourquoi depuis quelques années, des instances internationales se sont créées afin de lutter contre ces impacts et organiser le monde autour d'actions plus respectueuses de l'environnement telles que la notion de Développement Durable. </t>
  </si>
  <si>
    <t xml:space="preserve">Pour sensibiliser l’opinion publique et assurer un avenir aux futures générations, les chefs d’État des grandes puissances mondiales se réunissent régulièrement. Ensemble, ils travaillent sur des mesures qui limiteraient la pollution de l’air comme de l’eau et sur la production d’une énergie plus propre. Chaque pays, chaque région et chaque ville travaillent aussi pour protéger l’environnement. </t>
  </si>
  <si>
    <t>environnement</t>
  </si>
  <si>
    <t xml:space="preserve">climat </t>
  </si>
  <si>
    <t>pollution</t>
  </si>
  <si>
    <t>Sport</t>
  </si>
  <si>
    <t>Judo</t>
  </si>
  <si>
    <t xml:space="preserve">Créé au Japon en 1882, le judo est l’art martial le plus populaire en France. Dans le sillage de grands champions comme David Douillet ou Teddy Riner, le judo tricolore brille régulièrement dans les compétitions internationales, et rivalise avec les grandes nations de la discipline que sont le Japon et la Corée du Nord. Le judo est un sport de combat épanouissant, basé sur un code d’honneur et une philosophie orientale, qui consiste à utiliser la force de l’adversaire pour le mettre au sol et l’immobiliser. Les judokas voient leur niveau récompensé par des ceintures, de la ceinture blanche (pour les débutants) à la ceinture noire. </t>
  </si>
  <si>
    <t>judo</t>
  </si>
  <si>
    <t>Teddy Riner</t>
  </si>
  <si>
    <t>judokas</t>
  </si>
  <si>
    <t>ceinture noire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</si>
</sst>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rgb="FF000000"/>
      <name val="Calibri"/>
    </font>
    <font>
      <sz val="11"/>
      <color rgb="FF000000"/>
      <name val="Calibri"/>
      <family val="2"/>
    </font>
  </fonts>
  <fills count="6">
    <fill>
      <patternFill patternType="none"/>
    </fill>
    <fill>
      <patternFill patternType="gray125"/>
    </fill>
    <fill>
      <patternFill patternType="solid">
        <fgColor rgb="FFFFFF00"/>
        <bgColor rgb="FF000000"/>
      </patternFill>
    </fill>
    <fill>
      <patternFill patternType="solid">
        <fgColor rgb="FFFFFFFF"/>
        <bgColor rgb="FF000000"/>
      </patternFill>
    </fill>
    <fill>
      <patternFill patternType="solid">
        <fgColor rgb="FF00B050"/>
        <bgColor rgb="FF000000"/>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2" borderId="0" xfId="0" applyFill="1"/>
    <xf numFmtId="0" fontId="0" fillId="2" borderId="0" xfId="0" applyFill="1"/>
    <xf numFmtId="0" fontId="0" fillId="3" borderId="0" xfId="0" applyFill="1"/>
    <xf numFmtId="0" fontId="0" fillId="2" borderId="0" xfId="0" applyFill="1"/>
    <xf numFmtId="0" fontId="1" fillId="2" borderId="0" xfId="0" applyFont="1" applyFill="1" applyAlignment="1">
      <alignment horizontal="center"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2" borderId="1" xfId="0" applyFill="1" applyBorder="1"/>
    <xf numFmtId="0" fontId="0" fillId="5" borderId="1" xfId="0" applyFill="1" applyBorder="1"/>
    <xf numFmtId="0" fontId="0" fillId="0" borderId="1" xfId="0" applyBorder="1" applyAlignment="1">
      <alignment wrapText="1"/>
    </xf>
    <xf numFmtId="0" fontId="0" fillId="0" borderId="1" xfId="0" applyBorder="1"/>
    <xf numFmtId="0" fontId="0" fillId="2" borderId="1" xfId="0" applyFill="1" applyBorder="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tabSelected="1" zoomScale="60" zoomScaleNormal="60" workbookViewId="0">
      <selection activeCell="P1" sqref="A1:P1"/>
    </sheetView>
  </sheetViews>
  <sheetFormatPr baseColWidth="10" defaultColWidth="9.140625" defaultRowHeight="15" x14ac:dyDescent="0.25"/>
  <cols>
    <col min="2" max="2" width="15.85546875" bestFit="1" customWidth="1"/>
    <col min="3" max="3" width="18.28515625" bestFit="1" customWidth="1"/>
    <col min="4" max="4" width="21" style="13" bestFit="1" customWidth="1"/>
    <col min="5" max="5" width="14" style="11" customWidth="1"/>
    <col min="6" max="6" width="13.42578125" style="11" customWidth="1"/>
    <col min="7" max="7" width="15.140625" style="11" customWidth="1"/>
    <col min="8" max="8" width="15.7109375" style="11" customWidth="1"/>
    <col min="9" max="9" width="49.85546875" style="12" customWidth="1"/>
    <col min="10" max="10" width="19.140625" style="13" bestFit="1" customWidth="1"/>
    <col min="11" max="11" width="9.140625" style="13"/>
    <col min="12" max="12" width="41.85546875" style="12" customWidth="1"/>
    <col min="13" max="13" width="9.140625" style="12"/>
    <col min="14" max="14" width="42.28515625" style="12" customWidth="1"/>
    <col min="15" max="15" width="9.140625" style="13"/>
    <col min="16" max="16" width="13.140625" style="11" customWidth="1"/>
  </cols>
  <sheetData>
    <row r="1" spans="1:16" s="6" customFormat="1" ht="30" x14ac:dyDescent="0.25">
      <c r="A1" s="5" t="s">
        <v>0</v>
      </c>
      <c r="B1" s="5" t="s">
        <v>1</v>
      </c>
      <c r="C1" s="5" t="s">
        <v>2</v>
      </c>
      <c r="D1" s="7" t="s">
        <v>3</v>
      </c>
      <c r="E1" s="8" t="s">
        <v>12</v>
      </c>
      <c r="F1" s="8" t="s">
        <v>13</v>
      </c>
      <c r="G1" s="8" t="s">
        <v>14</v>
      </c>
      <c r="H1" s="8" t="s">
        <v>15</v>
      </c>
      <c r="I1" s="9" t="s">
        <v>4</v>
      </c>
      <c r="J1" s="7" t="s">
        <v>5</v>
      </c>
      <c r="K1" s="7" t="s">
        <v>7</v>
      </c>
      <c r="L1" s="9" t="s">
        <v>8</v>
      </c>
      <c r="M1" s="9" t="s">
        <v>9</v>
      </c>
      <c r="N1" s="9" t="s">
        <v>10</v>
      </c>
      <c r="O1" s="7" t="s">
        <v>11</v>
      </c>
      <c r="P1" s="8" t="s">
        <v>6</v>
      </c>
    </row>
    <row r="2" spans="1:16" ht="240" x14ac:dyDescent="0.25">
      <c r="A2">
        <v>1</v>
      </c>
      <c r="B2" t="s">
        <v>16</v>
      </c>
      <c r="C2" t="s">
        <v>17</v>
      </c>
      <c r="D2" s="10" t="s">
        <v>18</v>
      </c>
      <c r="E2" s="11" t="s">
        <v>20</v>
      </c>
      <c r="F2" s="11" t="s">
        <v>21</v>
      </c>
      <c r="G2" s="11" t="s">
        <v>22</v>
      </c>
      <c r="H2" s="11" t="s">
        <v>23</v>
      </c>
      <c r="I2" s="12" t="str">
        <f>K2&amp;L2&amp;O2</f>
        <v>&lt;p&gt;En avril 2011, l'affaire de Ligonnès éclatait au grand jour.  Xavier Dupont de Ligonnès disparaissait mystérieusement alors que les corps des membres de toute sa famille étaient retrouvés sans vie à leur domicile de Nantes, dissimilés sous la terrasse du jardin. Le père de famille était alors devenu le premier suspect dans cette affaire d'assassinat très médiatique. Après avoir été signalé de nombreuses fois à la police, Xavier Dupont de Ligonnès est pourtant resté introuvable depuis le drame. Fuite ou suicide ? Restent aux enquêteurs les signes d'une préméditation glaçante de la part du meurtrier ainsi que ses lettres personelles précédant le crime que l'on a retrouvées.&lt;/p&gt;</v>
      </c>
      <c r="K2" s="10" t="s">
        <v>7</v>
      </c>
      <c r="L2" s="12" t="s">
        <v>19</v>
      </c>
      <c r="M2" s="14" t="s">
        <v>9</v>
      </c>
      <c r="O2" s="10" t="s">
        <v>11</v>
      </c>
      <c r="P2" s="11">
        <f>SUMPRODUCT((LEN(TRIM(L2:N2))-LEN(SUBSTITUTE(TRIM(L2:N2)," ",""))+1)*(LEN(L2:N2)&gt;0))</f>
        <v>110</v>
      </c>
    </row>
    <row r="3" spans="1:16" ht="240" x14ac:dyDescent="0.25">
      <c r="A3">
        <v>2</v>
      </c>
      <c r="B3" t="s">
        <v>16</v>
      </c>
      <c r="C3" t="s">
        <v>24</v>
      </c>
      <c r="D3" s="10" t="s">
        <v>25</v>
      </c>
      <c r="E3" s="11" t="s">
        <v>25</v>
      </c>
      <c r="F3" s="11" t="s">
        <v>27</v>
      </c>
      <c r="G3" s="11" t="s">
        <v>28</v>
      </c>
      <c r="H3" s="11" t="s">
        <v>29</v>
      </c>
      <c r="I3" s="12" t="str">
        <f t="shared" ref="I3:I12" si="0">K3&amp;L3&amp;O3</f>
        <v>&lt;p&gt;Depuis 1919 en France, le 1er Mai est un jour férié célébrant la Fête du Travail. Reconnu dans de nombreux pays européens ainsi qu’en Russie, en Amérique du Sud, en Afrique et aux États-Unis, il commémore les manifestations ayant eu lieu à la fin de la première guerre mondiale pour la réduction du temps de travail et le passage à la journée de huit heures. Aujourd’hui, en France, de nombreuses manifestations syndicales sont toujours organisées le 1er Mai par le mouvement ouvrier pour célébrer les combats des travailleurs. Cette date est également associée à une tradition plus innocente qui consiste à offrir un brin de muguet pour célébrer l’arrivée du printemps.&lt;/p&gt;</v>
      </c>
      <c r="K3" s="10" t="s">
        <v>7</v>
      </c>
      <c r="L3" s="12" t="s">
        <v>26</v>
      </c>
      <c r="M3" s="14" t="s">
        <v>9</v>
      </c>
      <c r="O3" s="10" t="s">
        <v>11</v>
      </c>
      <c r="P3" s="11">
        <f t="shared" ref="P3:P13" si="1">SUMPRODUCT((LEN(TRIM(L3:N3))-LEN(SUBSTITUTE(TRIM(L3:N3)," ",""))+1)*(LEN(L3:N3)&gt;0))</f>
        <v>113</v>
      </c>
    </row>
    <row r="4" spans="1:16" ht="300" x14ac:dyDescent="0.25">
      <c r="A4">
        <v>3</v>
      </c>
      <c r="B4" t="s">
        <v>30</v>
      </c>
      <c r="C4" s="1" t="s">
        <v>31</v>
      </c>
      <c r="E4" s="11" t="s">
        <v>31</v>
      </c>
      <c r="F4" s="11" t="s">
        <v>33</v>
      </c>
      <c r="G4" s="11" t="s">
        <v>34</v>
      </c>
      <c r="H4" s="11" t="s">
        <v>35</v>
      </c>
      <c r="I4" s="12" t="str">
        <f t="shared" si="0"/>
        <v>&lt;p&gt;Homme d’État français, François Hollande est élu, le 15 mai 2012, Président de la République Française. Diplômé de l’ENA, il commence sa carrière comme avocat et magistrat à la Cour des comptes. Il s’engage tôt en politique et devient Premier secrétaire du Parti socialiste entre 1997 et 2008. Il est également Maire de Tulle (Corrèze) de 2001 à 2008. En devenant le 24ème Président de la République, il succède à Nicolas Sarkozy (UMP) alors à la tête de l’État et le devance lors de l’élection avec 51,64% des voix. Lors de la formation de son gouvernement, Françoise Hollande désigne Jean-Marc Ayrault comme Premier ministre. Par la suite ce dernier sera remplacé par Manuel Valls (ancien ministre de l’Intérieur). La Présidence de François Hollande touchera à sa fin en 2017 lors des nouvelles éléctions Présidentielles.&lt;/p&gt;</v>
      </c>
      <c r="K4" s="10" t="s">
        <v>7</v>
      </c>
      <c r="L4" s="12" t="s">
        <v>32</v>
      </c>
      <c r="M4" s="14" t="s">
        <v>9</v>
      </c>
      <c r="O4" s="10" t="s">
        <v>11</v>
      </c>
      <c r="P4" s="11">
        <f t="shared" si="1"/>
        <v>137</v>
      </c>
    </row>
    <row r="5" spans="1:16" ht="330" x14ac:dyDescent="0.25">
      <c r="A5">
        <v>4</v>
      </c>
      <c r="B5" t="s">
        <v>30</v>
      </c>
      <c r="C5" t="s">
        <v>36</v>
      </c>
      <c r="D5" s="10" t="s">
        <v>37</v>
      </c>
      <c r="E5" s="11" t="s">
        <v>39</v>
      </c>
      <c r="F5" s="11" t="s">
        <v>40</v>
      </c>
      <c r="G5" s="11" t="s">
        <v>41</v>
      </c>
      <c r="H5" s="11" t="s">
        <v>42</v>
      </c>
      <c r="I5" s="12" t="str">
        <f t="shared" si="0"/>
        <v>&lt;p&gt;Le 14 mai 2011, l’affaire DSK éclate. Dominique Strauss-Kahn, alors président du FMI et favori socialiste pour les présidentielles de 2012, est arrêté par la police de New York pour agressions sexuelles. Une femme de chambre du Sofitel l’accuse de lui avoir imposé des relations sexuelles. Poursuivi par la justice américaine, il décide de plaider non coupable. Les charges sont finalement abandonnées, Nafissatou Diallo manquant de crédibilité selon le procureur. Toutefois, la victime présumée intente une action civile afin d’obtenir des dommages et intérêts ; les deux parties s’accordent finalement sur un arrangement à l'amiable.  _x000D_Malgré la fin des poursuites, le scandale de l'affaire DSK est tel qu’il signe la fin de la carrière politique de Dominique Strauss-Kahn. Cette affaire du Sofitel sera d’ailleurs suivie par d’autres affaires de mœurs en France, notamment celle du Carlton de Lille. _x000D_&lt;/p&gt;</v>
      </c>
      <c r="K5" s="10" t="s">
        <v>7</v>
      </c>
      <c r="L5" s="12" t="s">
        <v>38</v>
      </c>
      <c r="M5" s="14" t="s">
        <v>9</v>
      </c>
      <c r="O5" s="10" t="s">
        <v>11</v>
      </c>
      <c r="P5" s="11">
        <f t="shared" si="1"/>
        <v>142</v>
      </c>
    </row>
    <row r="6" spans="1:16" ht="330" x14ac:dyDescent="0.25">
      <c r="A6">
        <v>5</v>
      </c>
      <c r="B6" t="s">
        <v>43</v>
      </c>
      <c r="C6" t="s">
        <v>44</v>
      </c>
      <c r="D6" s="10" t="s">
        <v>45</v>
      </c>
      <c r="E6" s="11" t="s">
        <v>47</v>
      </c>
      <c r="F6" s="11" t="s">
        <v>48</v>
      </c>
      <c r="G6" s="11" t="s">
        <v>49</v>
      </c>
      <c r="H6" s="11" t="s">
        <v>50</v>
      </c>
      <c r="I6" s="12" t="str">
        <f t="shared" si="0"/>
        <v>&lt;p&gt;Chaque année en septembre, le SPACE fait venir à Rennes plus de 110 000 professionnels de l'élevage du monde entier. Avec plus de 68 000 m² de stands d'exposition, c'est le deuxième salon mondial du secteur. Au programme du SPACE, on retrouve notamment les derniers équipements et services de production, la génétique animale, la santé du bétail et son alimentation. Pour les éleveurs de races bovines, porcines, ovines, caprines... le salon international de l'élevage est aussi un rendez-vous important de concours internationaux réputés. Lieu de débats, conférences et échanges entre professionnels des productions animales, chaque édition du SPACE est l'occasion de découvrir les innovations et les projets de recherche et développement marquants du secteur. Le «  Salon des Productions Animales Carrefour Européen  » se tient au Parc-Expo de Rennes-Aéroport à Bruz, dans la banlieue de Rennes.&lt;/p&gt;</v>
      </c>
      <c r="K6" s="10" t="s">
        <v>7</v>
      </c>
      <c r="L6" s="12" t="s">
        <v>46</v>
      </c>
      <c r="M6" s="14" t="s">
        <v>9</v>
      </c>
      <c r="O6" s="10" t="s">
        <v>11</v>
      </c>
      <c r="P6" s="11">
        <f t="shared" si="1"/>
        <v>139</v>
      </c>
    </row>
    <row r="7" spans="1:16" ht="330" x14ac:dyDescent="0.25">
      <c r="A7">
        <v>6</v>
      </c>
      <c r="B7" t="s">
        <v>43</v>
      </c>
      <c r="C7" t="s">
        <v>51</v>
      </c>
      <c r="D7" s="10" t="s">
        <v>52</v>
      </c>
      <c r="E7" s="11" t="s">
        <v>54</v>
      </c>
      <c r="F7" s="11" t="s">
        <v>55</v>
      </c>
      <c r="G7" s="11" t="s">
        <v>56</v>
      </c>
      <c r="H7" s="11" t="s">
        <v>57</v>
      </c>
      <c r="I7" s="12" t="str">
        <f t="shared" si="0"/>
        <v>&lt;p&gt;Parmi toutes les îles du Ponant dans le Finistère, l’île d’Ouessant est la plus éloignée du continent, distante de 25 kms des côtes. Elle fait pourtant l’objet d’une fréquentation touristique saisonnière non négligeable. Les capacités d’accueil de l’île se composent en premier lieu de résidences secondaires ou d’hébergements chez des amis habitants de l’île. Les gites et hôtels familiaux sont également bien implantés, ainsi que les zones de campings. L’île dispose en outre de nombreux centres de loisirs, incluant toutes les activités liées à la mer (tourisme balnéaire, sports aquatiques, pêche). Son patrimoine est tout autant lié au fait religieux qu’à son histoire maritime. Eglise, chapelles, phares et musées écologiques et maritimes constituent une grande part de son offre culturelle. Les visiteurs sont enfin attirés en majorité par le paysage insulaire d’Ouessant, et une certaine qualité de vie, liée à son isolement.&lt;/p&gt;</v>
      </c>
      <c r="K7" s="10" t="s">
        <v>7</v>
      </c>
      <c r="L7" s="12" t="s">
        <v>53</v>
      </c>
      <c r="M7" s="14" t="s">
        <v>9</v>
      </c>
      <c r="O7" s="10" t="s">
        <v>11</v>
      </c>
      <c r="P7" s="11">
        <f t="shared" si="1"/>
        <v>145</v>
      </c>
    </row>
    <row r="8" spans="1:16" ht="360" x14ac:dyDescent="0.25">
      <c r="A8">
        <v>7</v>
      </c>
      <c r="B8" t="s">
        <v>58</v>
      </c>
      <c r="C8" t="s">
        <v>59</v>
      </c>
      <c r="D8" s="10" t="s">
        <v>60</v>
      </c>
      <c r="E8" s="11" t="s">
        <v>63</v>
      </c>
      <c r="F8" s="11" t="s">
        <v>64</v>
      </c>
      <c r="G8" s="11" t="s">
        <v>65</v>
      </c>
      <c r="H8" s="11" t="s">
        <v>66</v>
      </c>
      <c r="I8" s="12" t="str">
        <f>K8&amp;L8&amp;M8&amp;N8&amp;O8</f>
        <v>&lt;p&gt;Art de construire, l’architecture s’ancre à la fois dans le passé, le présent et le futur. Elle apporte un témoignage vivant du savoir-faire des civilisations anciennes et des grandes époques de l’humanité. Répondant à des besoins humains essentiels, elle concerne les bâtiments publics, religieux ou privés, les intérieurs ou les jardins. L’architecture fait partie des beaux-arts et relate les rapports entretenus par l’homme avec son environnement à une époque donnée.&lt;br /&gt;&lt;br /&gt;Cet art majeur  se trouve aussi face à des défis. Elle est un des secteurs d’activité pour lesquels l’innovation est une seconde nature : matériaux et techniques de construction, utilisation de l’espace, intégration de la technologie, prise en compte de l’environnement…  Au travers d’expositions, de visites exclusives, de rencontres avec des architectes de renom ou d’événements mondiaux majeurs tels que la biennale d’architecture de Venise, le public peut lui aussi s’initier à cet art en trois dimensions. &lt;/p&gt;</v>
      </c>
      <c r="K8" s="10" t="s">
        <v>7</v>
      </c>
      <c r="L8" s="12" t="s">
        <v>61</v>
      </c>
      <c r="M8" s="14" t="s">
        <v>9</v>
      </c>
      <c r="N8" s="12" t="s">
        <v>62</v>
      </c>
      <c r="O8" s="10" t="s">
        <v>11</v>
      </c>
      <c r="P8" s="11">
        <f t="shared" si="1"/>
        <v>150</v>
      </c>
    </row>
    <row r="9" spans="1:16" ht="315" x14ac:dyDescent="0.25">
      <c r="A9">
        <v>8</v>
      </c>
      <c r="B9" t="s">
        <v>58</v>
      </c>
      <c r="C9" t="s">
        <v>67</v>
      </c>
      <c r="D9" s="10" t="s">
        <v>68</v>
      </c>
      <c r="E9" s="11" t="s">
        <v>68</v>
      </c>
      <c r="F9" s="11" t="s">
        <v>70</v>
      </c>
      <c r="G9" s="11" t="s">
        <v>71</v>
      </c>
      <c r="H9" s="11" t="s">
        <v>72</v>
      </c>
      <c r="I9" s="12" t="str">
        <f t="shared" si="0"/>
        <v>&lt;p&gt;Créée en novembre 1984, Canal+ fut la première chaîne privée de France et reste l’une des 10 chaînes de télévision les plus regardées dans l’Hexagone. Canal+ est une chaîne à péage, c’est-à-dire que son signal est crypté, et nécessite pour les abonnés d’avoir un décodeur. Si l’idée initiale lors du lancement de Canal+ était de créer une chaîne orientée sur les émissions culturelles, en réalité la chaîne Canal+ s’est rapidement fait un nom pour la diffusion de films récents ainsi que d’évènements sportifs, notamment de matchs de football et de courses de Formule 1. Depuis 1992, Canal+ s’est aussi étoffé avec un bouquet de chaînes plus spécialisées par l’intermédiaire de sa version satellite baptisée Canalsat. Parmi les émissions télévisées emblématiques de la chaîne, on compte entre autres « Les Guignols de l’info » (depuis 1988) et « Le Grand Journal », lancé en 2004.  &lt;/p&gt;</v>
      </c>
      <c r="K9" s="10" t="s">
        <v>7</v>
      </c>
      <c r="L9" s="12" t="s">
        <v>69</v>
      </c>
      <c r="M9" s="14" t="s">
        <v>9</v>
      </c>
      <c r="O9" s="10" t="s">
        <v>11</v>
      </c>
      <c r="P9" s="11">
        <f t="shared" si="1"/>
        <v>143</v>
      </c>
    </row>
    <row r="10" spans="1:16" ht="300" x14ac:dyDescent="0.25">
      <c r="A10">
        <v>9</v>
      </c>
      <c r="B10" t="s">
        <v>58</v>
      </c>
      <c r="C10" t="s">
        <v>73</v>
      </c>
      <c r="D10" s="10" t="s">
        <v>74</v>
      </c>
      <c r="E10" s="11" t="s">
        <v>76</v>
      </c>
      <c r="F10" s="11" t="s">
        <v>77</v>
      </c>
      <c r="G10" s="11" t="s">
        <v>78</v>
      </c>
      <c r="H10" s="11" t="s">
        <v>79</v>
      </c>
      <c r="I10" s="12" t="str">
        <f t="shared" si="0"/>
        <v>&lt;p&gt;Le festival des Vieilles Charrues 2015 se tiendra du 16 au 19 juillet à Carhaix. Alors que la plupart des festivals français souffrent des réductions de subventions publiques, le plus grand festival de France s’apprête à accueillir sa 24e édition, affirmant d’année en année son caractère indépendant et éco citoyen. Côté musique, la programmation se veut une fois de plus éclectique avec des têtes d’affiche taillées pour les foules comme Muse, The Chemical Brothers ou The Prodigy, mais aussi des talents tricolores comme Christine and the Queens ou The Dø et même une scène de découvertes musicales. Nouveauté cette année, Les Vieilles Charrues s’essaye au paiement dématérialisé qui devrait réduire les files d’attente tout en proposant davantage de concerts.
&lt;/p&gt;</v>
      </c>
      <c r="K10" s="10" t="s">
        <v>7</v>
      </c>
      <c r="L10" s="12" t="s">
        <v>75</v>
      </c>
      <c r="M10" s="14" t="s">
        <v>9</v>
      </c>
      <c r="O10" s="10" t="s">
        <v>11</v>
      </c>
      <c r="P10" s="11">
        <f t="shared" si="1"/>
        <v>122</v>
      </c>
    </row>
    <row r="11" spans="1:16" ht="315" x14ac:dyDescent="0.25">
      <c r="A11">
        <v>10</v>
      </c>
      <c r="B11" t="s">
        <v>58</v>
      </c>
      <c r="C11" t="s">
        <v>80</v>
      </c>
      <c r="D11" s="10" t="s">
        <v>81</v>
      </c>
      <c r="E11" s="11" t="s">
        <v>83</v>
      </c>
      <c r="F11" s="11" t="s">
        <v>84</v>
      </c>
      <c r="G11" s="11" t="s">
        <v>85</v>
      </c>
      <c r="H11" s="11" t="s">
        <v>86</v>
      </c>
      <c r="I11" s="12" t="str">
        <f t="shared" si="0"/>
        <v>&lt;p&gt;La guerre 39-45 est un conflit armé mondial qui a débuté le 1er septembre 1939 et s'est terminé le 2 septembre 1945. La Seconde Guerre Mondiale  a opposé les Alliés, regroupant notamment les États-Unis, le Royaume-Uni et l’Union Soviétique, aux forces de l’Axe, c’est-à-dire l’Allemagne, l’Italie et le Japon. Le 1er septembre 1939, Adolf Hitler, dirigeant de l’Allemagne nazie, envahit la Pologne, poussant alors la France et le Royaume-Uni à lui déclarer la guerre le 3 septembre. Pendant six ans, la guerre 39-45 se déroule sur différents fronts : le front de l’ouest, le front de l’est, le Pacifique et l’Afrique du Nord. Finalement, le 6 juin 1944, les forces alliées débarquent en Normandie et en mai 1945, l’Allemagne capitule. Le Japon cèdera quant à lui en septembre 1945, suite aux bombardements atomiques sur Hiroshima et Nagasaki, mettant fin au conflit le plus meurtrier de l’Histoire.&lt;/p&gt;</v>
      </c>
      <c r="K11" s="10" t="s">
        <v>7</v>
      </c>
      <c r="L11" s="12" t="s">
        <v>82</v>
      </c>
      <c r="M11" s="14" t="s">
        <v>9</v>
      </c>
      <c r="O11" s="10" t="s">
        <v>11</v>
      </c>
      <c r="P11" s="11">
        <f t="shared" si="1"/>
        <v>149</v>
      </c>
    </row>
    <row r="12" spans="1:16" ht="300" x14ac:dyDescent="0.25">
      <c r="A12">
        <v>11</v>
      </c>
      <c r="B12" t="s">
        <v>87</v>
      </c>
      <c r="C12" s="2" t="s">
        <v>88</v>
      </c>
      <c r="E12" s="11" t="s">
        <v>91</v>
      </c>
      <c r="F12" s="11" t="s">
        <v>92</v>
      </c>
      <c r="G12" s="11" t="s">
        <v>93</v>
      </c>
      <c r="I12" s="12" t="str">
        <f>K12&amp;L12&amp;M12&amp;N12&amp;O12</f>
        <v>&lt;p&gt;L’environnement, qui constitue l’ensemble des éléments naturels nous entourant et nous permettant de vivre, est aujourd’hui au cœur de l’actualité comme au centre de nos préoccupations, ainsi qu'un enjeu international majeur. De par les activités humaines (industrielles et les habitudes de consommations) qui impactent fortement sur les ressources  naturelles qui ne cessent de diminuer. Ces impacts négatifs ont de multiples conséquences sur la planète, par exemple le réchauffement climatique dû en partie à une émission de gaz à effet de serre trop importante. C'est pourquoi depuis quelques années, des instances internationales se sont créées afin de lutter contre ces impacts et organiser le monde autour d'actions plus respectueuses de l'environnement telles que la notion de Développement Durable. &lt;br /&gt;&lt;br /&gt;Pour sensibiliser l’opinion publique et assurer un avenir aux futures générations, les chefs d’État des grandes puissances mondiales se réunissent régulièrement. Ensemble, ils travaillent sur des mesures qui limiteraient la pollution de l’air comme de l’eau et sur la production d’une énergie plus propre. Chaque pays, chaque région et chaque ville travaillent aussi pour protéger l’environnement. &lt;/p&gt;</v>
      </c>
      <c r="K12" s="10" t="s">
        <v>7</v>
      </c>
      <c r="L12" s="12" t="s">
        <v>89</v>
      </c>
      <c r="M12" s="14" t="s">
        <v>9</v>
      </c>
      <c r="N12" s="12" t="s">
        <v>90</v>
      </c>
      <c r="O12" s="10" t="s">
        <v>11</v>
      </c>
      <c r="P12" s="11">
        <f t="shared" si="1"/>
        <v>176</v>
      </c>
    </row>
    <row r="13" spans="1:16" ht="255" x14ac:dyDescent="0.25">
      <c r="A13">
        <v>12</v>
      </c>
      <c r="B13" s="3" t="s">
        <v>94</v>
      </c>
      <c r="C13" s="4" t="s">
        <v>95</v>
      </c>
      <c r="E13" s="11" t="s">
        <v>97</v>
      </c>
      <c r="F13" s="11" t="s">
        <v>98</v>
      </c>
      <c r="G13" s="11" t="s">
        <v>99</v>
      </c>
      <c r="H13" s="11" t="s">
        <v>100</v>
      </c>
      <c r="I13" s="12" t="str">
        <f t="shared" ref="I13" si="2">K13&amp;L13&amp;O13</f>
        <v>&lt;p&gt;Créé au Japon en 1882, le judo est l’art martial le plus populaire en France. Dans le sillage de grands champions comme David Douillet ou Teddy Riner, le judo tricolore brille régulièrement dans les compétitions internationales, et rivalise avec les grandes nations de la discipline que sont le Japon et la Corée du Nord. Le judo est un sport de combat épanouissant, basé sur un code d’honneur et une philosophie orientale, qui consiste à utiliser la force de l’adversaire pour le mettre au sol et l’immobiliser. Les judokas voient leur niveau récompensé par des ceintures, de la ceinture blanche (pour les débutants) à la ceinture noire. &lt;/p&gt;</v>
      </c>
      <c r="K13" s="10" t="s">
        <v>7</v>
      </c>
      <c r="L13" s="12" t="s">
        <v>96</v>
      </c>
      <c r="M13" s="14" t="s">
        <v>9</v>
      </c>
      <c r="O13" s="10" t="s">
        <v>11</v>
      </c>
      <c r="P13" s="11">
        <f t="shared" si="1"/>
        <v>109</v>
      </c>
    </row>
  </sheetData>
  <sheetProtection formatCells="0" formatColumns="0" formatRows="0" insertColumns="0" insertRows="0" insertHyperlinks="0" deleteColumns="0" deleteRows="0" sort="0" autoFilter="0" pivotTables="0"/>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Manager/>
  <Company>Microsoft Corporation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Edit-Place</dc:creator>
  <cp:keywords/>
  <dc:description/>
  <cp:lastModifiedBy>Johnny Gimenez</cp:lastModifiedBy>
  <dcterms:created xsi:type="dcterms:W3CDTF">2015-06-11T16:16:30Z</dcterms:created>
  <dcterms:modified xsi:type="dcterms:W3CDTF">2015-06-17T08:50:50Z</dcterms:modified>
  <cp:category/>
</cp:coreProperties>
</file>